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<sst xmlns="http://schemas.openxmlformats.org/spreadsheetml/2006/main" count="29" uniqueCount="29">
  <si>
    <t>Timestamp</t>
  </si>
  <si>
    <t>Participant Roll Number</t>
  </si>
  <si>
    <t>Comfort - Rate out of 5</t>
  </si>
  <si>
    <t>Fit &amp; Stability - Rate out of 5</t>
  </si>
  <si>
    <t>Motion Smoothness - Rate out of 5</t>
  </si>
  <si>
    <t>Safety - Rate out of 5</t>
  </si>
  <si>
    <t>Overall Wearability - Rate out of 5</t>
  </si>
  <si>
    <t>Comments if any</t>
  </si>
  <si>
    <t>IMT2023504</t>
  </si>
  <si>
    <t>Toe movement was noticeable and consistent.</t>
  </si>
  <si>
    <t>IMT2023546</t>
  </si>
  <si>
    <t>The system felt stable throughout the test.</t>
  </si>
  <si>
    <t>IMT2023566</t>
  </si>
  <si>
    <t>The straps held the device securely in place.</t>
  </si>
  <si>
    <t>IMT2023065</t>
  </si>
  <si>
    <t>The toe actuation worked as expected without discomfort.</t>
  </si>
  <si>
    <t>IMT2023115</t>
  </si>
  <si>
    <t>The actuation was smooth but slightly noisy.</t>
  </si>
  <si>
    <t>IMT2023100</t>
  </si>
  <si>
    <t xml:space="preserve">The device worked properly as expected </t>
  </si>
  <si>
    <t>IMT2023623</t>
  </si>
  <si>
    <t xml:space="preserve">Good device was comfortable and worked as I thought it would </t>
  </si>
  <si>
    <t>IMT2023563</t>
  </si>
  <si>
    <t>There was a small noice when the device was working but it functioned smoothly.</t>
  </si>
  <si>
    <t>IMT2023515</t>
  </si>
  <si>
    <t xml:space="preserve">Very comfortable and worked like how they said it would </t>
  </si>
  <si>
    <t>IMT2023619</t>
  </si>
  <si>
    <t>The device worked smoothly and I also tried the independent toe movement.</t>
  </si>
  <si>
    <t>Average score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</si>
</sst>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1" displayName="Form_Responses" name="Form_Responses" id="1">
  <tableColumns count="8">
    <tableColumn name="Timestamp" id="1"/>
    <tableColumn name="Participant Roll Number" id="2"/>
    <tableColumn name="Comfort - Rate out of 5" id="3"/>
    <tableColumn name="Fit &amp; Stability - Rate out of 5" id="4"/>
    <tableColumn name="Motion Smoothness - Rate out of 5" id="5"/>
    <tableColumn name="Safety - Rate out of 5" id="6"/>
    <tableColumn name="Overall Wearability - Rate out of 5" id="7"/>
    <tableColumn name="Comments if any" id="8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63"/>
    <col customWidth="1" min="3" max="3" width="22.0"/>
    <col customWidth="1" min="4" max="4" width="25.38"/>
    <col customWidth="1" min="5" max="5" width="30.5"/>
    <col customWidth="1" min="6" max="6" width="20.5"/>
    <col customWidth="1" min="7" max="7" width="29.25"/>
    <col customWidth="1" min="8" max="8" width="68.13"/>
    <col customWidth="1" min="9" max="1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>
        <v>46182.88828767361</v>
      </c>
      <c r="B2" s="3" t="s">
        <v>8</v>
      </c>
      <c r="C2" s="3">
        <v>4.5</v>
      </c>
      <c r="D2" s="3">
        <v>4.1</v>
      </c>
      <c r="E2" s="3">
        <v>4.2</v>
      </c>
      <c r="F2" s="3">
        <v>4.3</v>
      </c>
      <c r="G2" s="3">
        <v>4.2</v>
      </c>
      <c r="H2" s="3" t="s">
        <v>9</v>
      </c>
    </row>
    <row r="3" ht="22.5" customHeight="1">
      <c r="A3" s="2">
        <v>46182.890246724535</v>
      </c>
      <c r="B3" s="3" t="s">
        <v>10</v>
      </c>
      <c r="C3" s="3">
        <v>4.0</v>
      </c>
      <c r="D3" s="3">
        <v>4.5</v>
      </c>
      <c r="E3" s="3">
        <v>4.1</v>
      </c>
      <c r="F3" s="3">
        <v>4.2</v>
      </c>
      <c r="G3" s="3">
        <v>4.3</v>
      </c>
      <c r="H3" s="3" t="s">
        <v>11</v>
      </c>
    </row>
    <row r="4" ht="22.5" customHeight="1">
      <c r="A4" s="2">
        <v>46182.92201282407</v>
      </c>
      <c r="B4" s="3" t="s">
        <v>12</v>
      </c>
      <c r="C4" s="3">
        <v>4.3</v>
      </c>
      <c r="D4" s="3">
        <v>4.4</v>
      </c>
      <c r="E4" s="3">
        <v>4.1</v>
      </c>
      <c r="F4" s="3">
        <v>4.5</v>
      </c>
      <c r="G4" s="3">
        <v>4.4</v>
      </c>
      <c r="H4" s="3" t="s">
        <v>13</v>
      </c>
    </row>
    <row r="5" ht="22.5" customHeight="1">
      <c r="A5" s="2">
        <v>46182.92729702547</v>
      </c>
      <c r="B5" s="3" t="s">
        <v>14</v>
      </c>
      <c r="C5" s="3">
        <v>4.1</v>
      </c>
      <c r="D5" s="3">
        <v>4.3</v>
      </c>
      <c r="E5" s="3">
        <v>3.9</v>
      </c>
      <c r="F5" s="3">
        <v>4.5</v>
      </c>
      <c r="G5" s="3">
        <v>4.2</v>
      </c>
      <c r="H5" s="3" t="s">
        <v>15</v>
      </c>
    </row>
    <row r="6" ht="22.5" customHeight="1">
      <c r="A6" s="2">
        <v>46182.99671266203</v>
      </c>
      <c r="B6" s="3" t="s">
        <v>16</v>
      </c>
      <c r="C6" s="3">
        <v>3.9</v>
      </c>
      <c r="D6" s="3">
        <v>4.2</v>
      </c>
      <c r="E6" s="3">
        <v>4.0</v>
      </c>
      <c r="F6" s="3">
        <v>4.4</v>
      </c>
      <c r="G6" s="3">
        <v>4.1</v>
      </c>
      <c r="H6" s="3" t="s">
        <v>17</v>
      </c>
    </row>
    <row r="7" ht="22.5" customHeight="1">
      <c r="A7" s="2">
        <v>46183.01390009259</v>
      </c>
      <c r="B7" s="3" t="s">
        <v>18</v>
      </c>
      <c r="C7" s="3">
        <v>4.7</v>
      </c>
      <c r="D7" s="3">
        <v>4.8</v>
      </c>
      <c r="E7" s="3">
        <v>4.7</v>
      </c>
      <c r="F7" s="3">
        <v>4.7</v>
      </c>
      <c r="G7" s="3">
        <v>4.7</v>
      </c>
      <c r="H7" s="3" t="s">
        <v>19</v>
      </c>
    </row>
    <row r="8" ht="22.5" customHeight="1">
      <c r="A8" s="2">
        <v>46183.01517439815</v>
      </c>
      <c r="B8" s="3" t="s">
        <v>20</v>
      </c>
      <c r="C8" s="3">
        <v>4.8</v>
      </c>
      <c r="D8" s="3">
        <v>4.7</v>
      </c>
      <c r="E8" s="3">
        <v>4.7</v>
      </c>
      <c r="F8" s="3">
        <v>4.8</v>
      </c>
      <c r="G8" s="3">
        <v>4.8</v>
      </c>
      <c r="H8" s="3" t="s">
        <v>21</v>
      </c>
    </row>
    <row r="9" ht="22.5" customHeight="1">
      <c r="A9" s="2">
        <v>46183.017424861115</v>
      </c>
      <c r="B9" s="3" t="s">
        <v>22</v>
      </c>
      <c r="C9" s="3">
        <v>4.7</v>
      </c>
      <c r="D9" s="3">
        <v>4.6</v>
      </c>
      <c r="E9" s="3">
        <v>4.8</v>
      </c>
      <c r="F9" s="3">
        <v>4.8</v>
      </c>
      <c r="G9" s="3">
        <v>4.7</v>
      </c>
      <c r="H9" s="3" t="s">
        <v>23</v>
      </c>
    </row>
    <row r="10" ht="22.5" customHeight="1">
      <c r="A10" s="2">
        <v>46183.01853678241</v>
      </c>
      <c r="B10" s="3" t="s">
        <v>24</v>
      </c>
      <c r="C10" s="3">
        <v>4.8</v>
      </c>
      <c r="D10" s="3">
        <v>4.7</v>
      </c>
      <c r="E10" s="3">
        <v>4.7</v>
      </c>
      <c r="F10" s="3">
        <v>4.9</v>
      </c>
      <c r="G10" s="3">
        <v>4.8</v>
      </c>
      <c r="H10" s="3" t="s">
        <v>25</v>
      </c>
    </row>
    <row r="11" ht="22.5" customHeight="1">
      <c r="A11" s="2">
        <v>46183.020517557874</v>
      </c>
      <c r="B11" s="3" t="s">
        <v>26</v>
      </c>
      <c r="C11" s="3">
        <v>4.7</v>
      </c>
      <c r="D11" s="3">
        <v>4.6</v>
      </c>
      <c r="E11" s="3">
        <v>4.7</v>
      </c>
      <c r="F11" s="3">
        <v>4.8</v>
      </c>
      <c r="G11" s="3">
        <v>4.7</v>
      </c>
      <c r="H11" s="3" t="s">
        <v>27</v>
      </c>
    </row>
    <row r="13">
      <c r="B13" s="4" t="s">
        <v>28</v>
      </c>
      <c r="C13" s="5">
        <f>AVERAGE(Form_Responses[Comfort - Rate out of 5])</f>
        <v>4.45</v>
      </c>
      <c r="D13" s="5">
        <f>AVERAGE(Form_Responses[Fit &amp; Stability - Rate out of 5])</f>
        <v>4.49</v>
      </c>
      <c r="E13" s="5">
        <f>AVERAGE(Form_Responses[Motion Smoothness - Rate out of 5])</f>
        <v>4.39</v>
      </c>
      <c r="F13" s="5">
        <f>AVERAGE(Form_Responses[Safety - Rate out of 5])</f>
        <v>4.59</v>
      </c>
      <c r="G13" s="5">
        <f>AVERAGE(Form_Responses[Overall Wearability - Rate out of 5])</f>
        <v>4.49</v>
      </c>
    </row>
  </sheetData>
  <drawing r:id="rId1"/>
  <tableParts count="1">
    <tablePart r:id="rId3"/>
  </tableParts>
</worksheet>
</file>